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91700\Downloads\"/>
    </mc:Choice>
  </mc:AlternateContent>
  <xr:revisionPtr revIDLastSave="0" documentId="13_ncr:1_{834EBA5E-3E46-4524-A8B9-C8DEF27BEAE7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Dashboard" sheetId="1" r:id="rId1"/>
    <sheet name="Expenses" sheetId="2" r:id="rId2"/>
    <sheet name="Monthly Summary" sheetId="3" r:id="rId3"/>
    <sheet name="Instruction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3" l="1"/>
  <c r="B21" i="3"/>
  <c r="B20" i="3"/>
  <c r="B19" i="3"/>
  <c r="B18" i="3"/>
  <c r="B13" i="3"/>
  <c r="B12" i="3"/>
  <c r="B11" i="3"/>
  <c r="B6" i="3"/>
  <c r="B5" i="3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1" i="1"/>
  <c r="B12" i="1"/>
  <c r="B11" i="1"/>
  <c r="B8" i="1"/>
  <c r="B13" i="1" l="1"/>
  <c r="B16" i="1" s="1"/>
  <c r="B18" i="1" s="1"/>
  <c r="B14" i="3"/>
  <c r="B7" i="3"/>
  <c r="B23" i="3"/>
  <c r="C5" i="3"/>
  <c r="C6" i="3"/>
  <c r="B17" i="1" l="1"/>
</calcChain>
</file>

<file path=xl/sharedStrings.xml><?xml version="1.0" encoding="utf-8"?>
<sst xmlns="http://schemas.openxmlformats.org/spreadsheetml/2006/main" count="160" uniqueCount="120">
  <si>
    <t>MONTHLY EXPENSE TRACKER &amp; FINANCIAL SUMMARY</t>
  </si>
  <si>
    <t>Month &amp; Year:</t>
  </si>
  <si>
    <t>June 2026</t>
  </si>
  <si>
    <t>INCOME INFORMATION</t>
  </si>
  <si>
    <t>Gross Monthly Income:</t>
  </si>
  <si>
    <t>Other Income:</t>
  </si>
  <si>
    <t>Total Income:</t>
  </si>
  <si>
    <t>EXPENSE SUMMARY</t>
  </si>
  <si>
    <t>Total Fixed Expenses:</t>
  </si>
  <si>
    <t>Total Variable Expenses:</t>
  </si>
  <si>
    <t>Total Monthly Expenses:</t>
  </si>
  <si>
    <t>FINANCIAL SUMMARY</t>
  </si>
  <si>
    <t>Total Savings:</t>
  </si>
  <si>
    <t>Savings Rate (%):</t>
  </si>
  <si>
    <t>Remaining Balance:</t>
  </si>
  <si>
    <t>CATEGORY-WISE EXPENSE BREAKDOWN</t>
  </si>
  <si>
    <t>Home Loan EMI</t>
  </si>
  <si>
    <t>Personal Loan EMI</t>
  </si>
  <si>
    <t>Car Loan EMI</t>
  </si>
  <si>
    <t>Parking Charges</t>
  </si>
  <si>
    <t>Groceries</t>
  </si>
  <si>
    <t>Gym Membership</t>
  </si>
  <si>
    <t>Home Needs</t>
  </si>
  <si>
    <t>Personal Expenses</t>
  </si>
  <si>
    <t>Electricity Bill</t>
  </si>
  <si>
    <t>Water Bill</t>
  </si>
  <si>
    <t>Gas Bill</t>
  </si>
  <si>
    <t>Internet/Broadband</t>
  </si>
  <si>
    <t>Mobile Recharge</t>
  </si>
  <si>
    <t>Fuel/Petrol</t>
  </si>
  <si>
    <t>Transportation</t>
  </si>
  <si>
    <t>Medical Expenses</t>
  </si>
  <si>
    <t>Insurance Premiums</t>
  </si>
  <si>
    <t>Baby Expenses</t>
  </si>
  <si>
    <t>Dining Out</t>
  </si>
  <si>
    <t>Online Shopping</t>
  </si>
  <si>
    <t>Miscellaneous</t>
  </si>
  <si>
    <t>Date</t>
  </si>
  <si>
    <t>Description</t>
  </si>
  <si>
    <t>Type</t>
  </si>
  <si>
    <t>Amount</t>
  </si>
  <si>
    <t>Payment Method</t>
  </si>
  <si>
    <t>Notes</t>
  </si>
  <si>
    <t>01-06-2026</t>
  </si>
  <si>
    <t>Home Loan - Monthly EMI</t>
  </si>
  <si>
    <t>Fixed</t>
  </si>
  <si>
    <t>Bank Account</t>
  </si>
  <si>
    <t>Principal + Interest</t>
  </si>
  <si>
    <t>02-06-2026</t>
  </si>
  <si>
    <t>Weekly Grocery Shopping</t>
  </si>
  <si>
    <t>Variable</t>
  </si>
  <si>
    <t>UPI</t>
  </si>
  <si>
    <t>Vegetables, fruits, dairy</t>
  </si>
  <si>
    <t>June Electricity Bill</t>
  </si>
  <si>
    <t>Monthly utility</t>
  </si>
  <si>
    <t>03-06-2026</t>
  </si>
  <si>
    <t>Personal loan installment</t>
  </si>
  <si>
    <t>Credit Card</t>
  </si>
  <si>
    <t>Cash</t>
  </si>
  <si>
    <t>Local travel</t>
  </si>
  <si>
    <t>Casual lunch</t>
  </si>
  <si>
    <t>28-06-2026</t>
  </si>
  <si>
    <t>Entertainment tickets</t>
  </si>
  <si>
    <t>Movie tickets</t>
  </si>
  <si>
    <t>29-06-2026</t>
  </si>
  <si>
    <t>Daily commute</t>
  </si>
  <si>
    <t>30-06-2026</t>
  </si>
  <si>
    <t>Quick lunch</t>
  </si>
  <si>
    <t>MONTHLY EXPENSE REPORT</t>
  </si>
  <si>
    <t>EXPENSE SUMMARY BY TYPE</t>
  </si>
  <si>
    <t>Expense Type</t>
  </si>
  <si>
    <t>% of Total</t>
  </si>
  <si>
    <t>Fixed Expenses</t>
  </si>
  <si>
    <t>Variable Expenses</t>
  </si>
  <si>
    <t>Total Expenses</t>
  </si>
  <si>
    <t>EMI SUMMARY</t>
  </si>
  <si>
    <t>EMI Type</t>
  </si>
  <si>
    <t>Total EMI Payments</t>
  </si>
  <si>
    <t>UTILITY BILLS SUMMARY</t>
  </si>
  <si>
    <t>Utility</t>
  </si>
  <si>
    <t>Total Utility Bills</t>
  </si>
  <si>
    <t>STEP 1: Dashboard Setup</t>
  </si>
  <si>
    <t>1. Go to the "Dashboard" sheet</t>
  </si>
  <si>
    <t>2. Enter the Month &amp; Year in cell B3</t>
  </si>
  <si>
    <t>3. Enter your Gross Monthly Income in cell B6</t>
  </si>
  <si>
    <t>4. Enter any Other Income in cell B7</t>
  </si>
  <si>
    <t>STEP 2: Add Expenses</t>
  </si>
  <si>
    <t>1. Go to the "Expenses" sheet</t>
  </si>
  <si>
    <t>2. In each row, enter:</t>
  </si>
  <si>
    <t xml:space="preserve">   • Date (in dd-mm-yyyy format)</t>
  </si>
  <si>
    <t xml:space="preserve">   • Category (dropdown list available)</t>
  </si>
  <si>
    <t xml:space="preserve">   • Description of the expense</t>
  </si>
  <si>
    <t xml:space="preserve">   • Type: Fixed or Variable (dropdown)</t>
  </si>
  <si>
    <t xml:space="preserve">   • Amount (in numbers)</t>
  </si>
  <si>
    <t xml:space="preserve">   • Payment Method: Cash/UPI/Credit Card/Bank Account</t>
  </si>
  <si>
    <t xml:space="preserve">   • Notes (optional)</t>
  </si>
  <si>
    <t>STEP 3: Auto-Calculation</t>
  </si>
  <si>
    <t>All calculations happen automatically:</t>
  </si>
  <si>
    <t>• Category totals update as you add expenses</t>
  </si>
  <si>
    <t>• Dashboard shows real-time totals</t>
  </si>
  <si>
    <t>• Monthly Summary updates automatically</t>
  </si>
  <si>
    <t>• Savings and savings rate calculate instantly</t>
  </si>
  <si>
    <t>STEP 4: Review Reports</t>
  </si>
  <si>
    <t>1. Dashboard: Overall financial summary</t>
  </si>
  <si>
    <t>2. Monthly Summary: Detailed breakdowns by type, EMI, utilities</t>
  </si>
  <si>
    <t>KEY FEATURES:</t>
  </si>
  <si>
    <t>✓ Automatic category-wise breakdown</t>
  </si>
  <si>
    <t>✓ Fixed vs Variable expense tracking</t>
  </si>
  <si>
    <t>✓ EMI payment summary</t>
  </si>
  <si>
    <t>✓ Utility bills summary</t>
  </si>
  <si>
    <t>✓ Real-time savings calculation</t>
  </si>
  <si>
    <t>✓ Savings rate percentage</t>
  </si>
  <si>
    <t>✓ Payment method tracking</t>
  </si>
  <si>
    <t>IMPORTANT NOTES:</t>
  </si>
  <si>
    <t>• Always use the dropdown lists for categories and types</t>
  </si>
  <si>
    <t>• Keep the Expenses sheet data clean</t>
  </si>
  <si>
    <t>• Do not delete or modify formula cells</t>
  </si>
  <si>
    <t>• Create a new sheet for each month by copying the Expenses sheet</t>
  </si>
  <si>
    <t xml:space="preserve">Credit Card </t>
  </si>
  <si>
    <t>Personal Loan EMI2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</si>
</sst>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₹\ #,##0.00;\(\₹\ #,##0.00\);\-"/>
    <numFmt numFmtId="165" formatCode="0.0%"/>
    <numFmt numFmtId="166" formatCode="dd\-mm\-yyyy"/>
  </numFmts>
  <fonts count="11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FFFFFF"/>
      <name val="Calibri"/>
    </font>
    <font>
      <sz val="10"/>
      <color rgb="FF0066CC"/>
      <name val="Calibri"/>
    </font>
    <font>
      <b/>
      <sz val="10"/>
      <color rgb="FF1F4E78"/>
      <name val="Calibri"/>
    </font>
    <font>
      <b/>
      <sz val="10"/>
      <color rgb="FF000000"/>
      <name val="Calibri"/>
    </font>
    <font>
      <b/>
      <sz val="10"/>
      <color rgb="FFFFFFFF"/>
      <name val="Calibri"/>
    </font>
    <font>
      <b/>
      <sz val="9"/>
      <color rgb="FF375623"/>
      <name val="Calibri"/>
    </font>
    <font>
      <b/>
      <sz val="12"/>
      <color rgb="FFFFFFFF"/>
      <name val="Calibri"/>
    </font>
    <font>
      <b/>
      <sz val="11"/>
      <name val="Calibri"/>
    </font>
    <font>
      <i/>
      <sz val="1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203864"/>
        <bgColor rgb="FF203864"/>
      </patternFill>
    </fill>
    <fill>
      <patternFill patternType="solid">
        <fgColor rgb="FFFFFFCC"/>
        <bgColor rgb="FFFFFFCC"/>
      </patternFill>
    </fill>
    <fill>
      <patternFill patternType="solid">
        <fgColor rgb="FFB4C7E7"/>
        <bgColor rgb="FFB4C7E7"/>
      </patternFill>
    </fill>
    <fill>
      <patternFill patternType="solid">
        <fgColor rgb="FFD9E1F2"/>
        <bgColor rgb="FFD9E1F2"/>
      </patternFill>
    </fill>
    <fill>
      <patternFill patternType="solid">
        <fgColor rgb="FFC00000"/>
        <bgColor rgb="FFC00000"/>
      </patternFill>
    </fill>
    <fill>
      <patternFill patternType="solid">
        <fgColor rgb="FF70AD47"/>
        <bgColor rgb="FF70AD47"/>
      </patternFill>
    </fill>
    <fill>
      <patternFill patternType="solid">
        <fgColor rgb="FFE2EFDA"/>
        <bgColor rgb="FFE2EFDA"/>
      </patternFill>
    </fill>
    <fill>
      <patternFill patternType="solid">
        <fgColor rgb="FF366092"/>
        <bgColor rgb="FF36609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3" fillId="3" borderId="0" xfId="0" applyFont="1" applyFill="1"/>
    <xf numFmtId="164" fontId="3" fillId="3" borderId="1" xfId="0" applyNumberFormat="1" applyFont="1" applyFill="1" applyBorder="1"/>
    <xf numFmtId="164" fontId="5" fillId="5" borderId="1" xfId="0" applyNumberFormat="1" applyFont="1" applyFill="1" applyBorder="1"/>
    <xf numFmtId="164" fontId="2" fillId="6" borderId="1" xfId="0" applyNumberFormat="1" applyFont="1" applyFill="1" applyBorder="1"/>
    <xf numFmtId="164" fontId="6" fillId="7" borderId="1" xfId="0" applyNumberFormat="1" applyFont="1" applyFill="1" applyBorder="1"/>
    <xf numFmtId="165" fontId="5" fillId="5" borderId="1" xfId="0" applyNumberFormat="1" applyFont="1" applyFill="1" applyBorder="1"/>
    <xf numFmtId="0" fontId="7" fillId="8" borderId="0" xfId="0" applyFont="1" applyFill="1"/>
    <xf numFmtId="164" fontId="0" fillId="0" borderId="1" xfId="0" applyNumberFormat="1" applyBorder="1"/>
    <xf numFmtId="0" fontId="2" fillId="9" borderId="1" xfId="0" applyFont="1" applyFill="1" applyBorder="1" applyAlignment="1">
      <alignment horizontal="center" vertical="center"/>
    </xf>
    <xf numFmtId="166" fontId="0" fillId="0" borderId="1" xfId="0" applyNumberFormat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2" fillId="9" borderId="1" xfId="0" applyFont="1" applyFill="1" applyBorder="1"/>
    <xf numFmtId="165" fontId="0" fillId="0" borderId="1" xfId="0" applyNumberFormat="1" applyBorder="1"/>
    <xf numFmtId="0" fontId="5" fillId="0" borderId="0" xfId="0" applyFont="1"/>
    <xf numFmtId="0" fontId="2" fillId="9" borderId="0" xfId="0" applyFont="1" applyFill="1"/>
    <xf numFmtId="0" fontId="9" fillId="0" borderId="0" xfId="0" applyFont="1"/>
    <xf numFmtId="0" fontId="10" fillId="0" borderId="0" xfId="0" applyFont="1"/>
    <xf numFmtId="0" fontId="4" fillId="4" borderId="0" xfId="0" applyFont="1" applyFill="1"/>
    <xf numFmtId="0" fontId="0" fillId="0" borderId="0" xfId="0"/>
    <xf numFmtId="0" fontId="1" fillId="2" borderId="0" xfId="0" applyFont="1" applyFill="1" applyAlignment="1">
      <alignment horizontal="center" vertical="center"/>
    </xf>
    <xf numFmtId="0" fontId="8" fillId="9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2"/>
  <sheetViews>
    <sheetView topLeftCell="A9" workbookViewId="0">
      <selection activeCell="B27" sqref="B27"/>
    </sheetView>
  </sheetViews>
  <sheetFormatPr defaultRowHeight="14.4" x14ac:dyDescent="0.3"/>
  <cols>
    <col min="1" max="1" width="30" customWidth="1"/>
    <col min="2" max="2" width="18" customWidth="1"/>
  </cols>
  <sheetData>
    <row r="1" spans="1:8" ht="25.05" customHeight="1" x14ac:dyDescent="0.3">
      <c r="A1" s="22" t="s">
        <v>0</v>
      </c>
      <c r="B1" s="21"/>
      <c r="C1" s="21"/>
      <c r="D1" s="21"/>
      <c r="E1" s="21"/>
      <c r="F1" s="21"/>
      <c r="G1" s="21"/>
      <c r="H1" s="21"/>
    </row>
    <row r="3" spans="1:8" x14ac:dyDescent="0.3">
      <c r="A3" s="1" t="s">
        <v>1</v>
      </c>
      <c r="B3" s="2" t="s">
        <v>2</v>
      </c>
    </row>
    <row r="5" spans="1:8" x14ac:dyDescent="0.3">
      <c r="A5" s="20" t="s">
        <v>3</v>
      </c>
      <c r="B5" s="21"/>
    </row>
    <row r="6" spans="1:8" x14ac:dyDescent="0.3">
      <c r="A6" t="s">
        <v>4</v>
      </c>
      <c r="B6" s="3">
        <v>125000</v>
      </c>
    </row>
    <row r="7" spans="1:8" x14ac:dyDescent="0.3">
      <c r="A7" t="s">
        <v>5</v>
      </c>
      <c r="B7" s="3">
        <v>0</v>
      </c>
    </row>
    <row r="8" spans="1:8" x14ac:dyDescent="0.3">
      <c r="A8" t="s">
        <v>6</v>
      </c>
      <c r="B8" s="4">
        <f>B6+B7</f>
        <v>125000</v>
      </c>
    </row>
    <row r="10" spans="1:8" x14ac:dyDescent="0.3">
      <c r="A10" s="20" t="s">
        <v>7</v>
      </c>
      <c r="B10" s="21"/>
    </row>
    <row r="11" spans="1:8" x14ac:dyDescent="0.3">
      <c r="A11" t="s">
        <v>8</v>
      </c>
      <c r="B11" s="4">
        <f>SUMIF(Expenses!$D:$D,"Fixed",Expenses!$E:$E)</f>
        <v>46800</v>
      </c>
    </row>
    <row r="12" spans="1:8" x14ac:dyDescent="0.3">
      <c r="A12" t="s">
        <v>9</v>
      </c>
      <c r="B12" s="4">
        <f>SUMIF(Expenses!$D:$D,"Variable",Expenses!$E:$E)</f>
        <v>18200</v>
      </c>
    </row>
    <row r="13" spans="1:8" x14ac:dyDescent="0.3">
      <c r="A13" t="s">
        <v>10</v>
      </c>
      <c r="B13" s="5">
        <f>B11+B12</f>
        <v>65000</v>
      </c>
    </row>
    <row r="15" spans="1:8" x14ac:dyDescent="0.3">
      <c r="A15" s="20" t="s">
        <v>11</v>
      </c>
      <c r="B15" s="21"/>
    </row>
    <row r="16" spans="1:8" x14ac:dyDescent="0.3">
      <c r="A16" t="s">
        <v>12</v>
      </c>
      <c r="B16" s="6">
        <f>B8-B13</f>
        <v>60000</v>
      </c>
    </row>
    <row r="17" spans="1:2" x14ac:dyDescent="0.3">
      <c r="A17" t="s">
        <v>13</v>
      </c>
      <c r="B17" s="7">
        <f>IF(B8=0,0,B16/B8)</f>
        <v>0.48</v>
      </c>
    </row>
    <row r="18" spans="1:2" x14ac:dyDescent="0.3">
      <c r="A18" t="s">
        <v>14</v>
      </c>
      <c r="B18" s="4">
        <f>B16</f>
        <v>60000</v>
      </c>
    </row>
    <row r="20" spans="1:2" x14ac:dyDescent="0.3">
      <c r="A20" s="20" t="s">
        <v>15</v>
      </c>
      <c r="B20" s="21"/>
    </row>
    <row r="21" spans="1:2" x14ac:dyDescent="0.3">
      <c r="A21" s="8" t="s">
        <v>16</v>
      </c>
      <c r="B21" s="9">
        <f>SUMIF(Expenses!$B:$B,A21,Expenses!$E:$E)</f>
        <v>22000</v>
      </c>
    </row>
    <row r="22" spans="1:2" x14ac:dyDescent="0.3">
      <c r="A22" s="12" t="s">
        <v>119</v>
      </c>
      <c r="B22" s="9"/>
    </row>
    <row r="23" spans="1:2" x14ac:dyDescent="0.3">
      <c r="A23" s="8" t="s">
        <v>17</v>
      </c>
      <c r="B23" s="9">
        <f>SUMIF(Expenses!$B:$B,A23,Expenses!$E:$E)</f>
        <v>23000</v>
      </c>
    </row>
    <row r="24" spans="1:2" x14ac:dyDescent="0.3">
      <c r="A24" s="8" t="s">
        <v>18</v>
      </c>
      <c r="B24" s="9">
        <f>SUMIF(Expenses!$B:$B,A24,Expenses!$E:$E)</f>
        <v>0</v>
      </c>
    </row>
    <row r="25" spans="1:2" x14ac:dyDescent="0.3">
      <c r="A25" s="8" t="s">
        <v>19</v>
      </c>
      <c r="B25" s="9">
        <f>SUMIF(Expenses!$B:$B,A25,Expenses!$E:$E)</f>
        <v>15000</v>
      </c>
    </row>
    <row r="26" spans="1:2" x14ac:dyDescent="0.3">
      <c r="A26" s="8" t="s">
        <v>20</v>
      </c>
      <c r="B26" s="9">
        <f>SUMIF(Expenses!$B:$B,A26,Expenses!$E:$E)</f>
        <v>2000</v>
      </c>
    </row>
    <row r="27" spans="1:2" x14ac:dyDescent="0.3">
      <c r="A27" s="8" t="s">
        <v>21</v>
      </c>
      <c r="B27" s="9">
        <f>SUMIF(Expenses!$B:$B,A27,Expenses!$E:$E)</f>
        <v>0</v>
      </c>
    </row>
    <row r="28" spans="1:2" x14ac:dyDescent="0.3">
      <c r="A28" s="8" t="s">
        <v>22</v>
      </c>
      <c r="B28" s="9">
        <f>SUMIF(Expenses!$B:$B,A28,Expenses!$E:$E)</f>
        <v>0</v>
      </c>
    </row>
    <row r="29" spans="1:2" x14ac:dyDescent="0.3">
      <c r="A29" s="8" t="s">
        <v>23</v>
      </c>
      <c r="B29" s="9">
        <f>SUMIF(Expenses!$B:$B,A29,Expenses!$E:$E)</f>
        <v>600</v>
      </c>
    </row>
    <row r="30" spans="1:2" x14ac:dyDescent="0.3">
      <c r="A30" s="8" t="s">
        <v>24</v>
      </c>
      <c r="B30" s="9">
        <f>SUMIF(Expenses!$B:$B,A30,Expenses!$E:$E)</f>
        <v>1800</v>
      </c>
    </row>
    <row r="31" spans="1:2" x14ac:dyDescent="0.3">
      <c r="A31" s="8" t="s">
        <v>25</v>
      </c>
      <c r="B31" s="9">
        <f>SUMIF(Expenses!$B:$B,A31,Expenses!$E:$E)</f>
        <v>0</v>
      </c>
    </row>
    <row r="32" spans="1:2" x14ac:dyDescent="0.3">
      <c r="A32" s="8" t="s">
        <v>26</v>
      </c>
      <c r="B32" s="9">
        <f>SUMIF(Expenses!$B:$B,A32,Expenses!$E:$E)</f>
        <v>0</v>
      </c>
    </row>
    <row r="33" spans="1:2" x14ac:dyDescent="0.3">
      <c r="A33" s="8" t="s">
        <v>27</v>
      </c>
      <c r="B33" s="9">
        <f>SUMIF(Expenses!$B:$B,A33,Expenses!$E:$E)</f>
        <v>0</v>
      </c>
    </row>
    <row r="34" spans="1:2" x14ac:dyDescent="0.3">
      <c r="A34" s="8" t="s">
        <v>28</v>
      </c>
      <c r="B34" s="9">
        <f>SUMIF(Expenses!$B:$B,A34,Expenses!$E:$E)</f>
        <v>0</v>
      </c>
    </row>
    <row r="35" spans="1:2" x14ac:dyDescent="0.3">
      <c r="A35" s="8" t="s">
        <v>29</v>
      </c>
      <c r="B35" s="9">
        <f>SUMIF(Expenses!$B:$B,A35,Expenses!$E:$E)</f>
        <v>0</v>
      </c>
    </row>
    <row r="36" spans="1:2" x14ac:dyDescent="0.3">
      <c r="A36" s="8" t="s">
        <v>118</v>
      </c>
      <c r="B36" s="9">
        <f>SUMIF(Expenses!$B:$B,A36,Expenses!$E:$E)</f>
        <v>0</v>
      </c>
    </row>
    <row r="37" spans="1:2" x14ac:dyDescent="0.3">
      <c r="A37" s="8" t="s">
        <v>31</v>
      </c>
      <c r="B37" s="9">
        <f>SUMIF(Expenses!$B:$B,A37,Expenses!$E:$E)</f>
        <v>0</v>
      </c>
    </row>
    <row r="38" spans="1:2" x14ac:dyDescent="0.3">
      <c r="A38" s="8" t="s">
        <v>32</v>
      </c>
      <c r="B38" s="9">
        <f>SUMIF(Expenses!$B:$B,A38,Expenses!$E:$E)</f>
        <v>0</v>
      </c>
    </row>
    <row r="39" spans="1:2" x14ac:dyDescent="0.3">
      <c r="A39" s="8" t="s">
        <v>33</v>
      </c>
      <c r="B39" s="9">
        <f>SUMIF(Expenses!$B:$B,A39,Expenses!$E:$E)</f>
        <v>0</v>
      </c>
    </row>
    <row r="40" spans="1:2" x14ac:dyDescent="0.3">
      <c r="A40" s="8" t="s">
        <v>34</v>
      </c>
      <c r="B40" s="9">
        <f>SUMIF(Expenses!$B:$B,A40,Expenses!$E:$E)</f>
        <v>400</v>
      </c>
    </row>
    <row r="41" spans="1:2" x14ac:dyDescent="0.3">
      <c r="A41" s="8" t="s">
        <v>35</v>
      </c>
      <c r="B41" s="9">
        <f>SUMIF(Expenses!$B:$B,A41,Expenses!$E:$E)</f>
        <v>0</v>
      </c>
    </row>
    <row r="42" spans="1:2" x14ac:dyDescent="0.3">
      <c r="A42" s="8" t="s">
        <v>36</v>
      </c>
      <c r="B42" s="9">
        <f>SUMIF(Expenses!$B:$B,A42,Expenses!$E:$E)</f>
        <v>0</v>
      </c>
    </row>
  </sheetData>
  <mergeCells count="5">
    <mergeCell ref="A20:B20"/>
    <mergeCell ref="A15:B15"/>
    <mergeCell ref="A10:B10"/>
    <mergeCell ref="A5:B5"/>
    <mergeCell ref="A1:H1"/>
  </mergeCells>
  <dataValidations count="1">
    <dataValidation type="list" allowBlank="1" showInputMessage="1" showErrorMessage="1" sqref="A22" xr:uid="{028B5902-657E-4B4D-B12A-114C39339CFE}">
      <formula1>"Home Loan EMI,Personal Loan EMI,Personal Loan EMI2,Car Loan EMI,Parking Charges,Groceries,Gym Membership,Home Needs,Personal Expenses,Electricity Bill,Gas Bill,Medical Expenses,Insurance Premiums,Baby Expenses,Dining Out,Online Shopping,Miscellaneous+$A$1"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7"/>
  <sheetViews>
    <sheetView tabSelected="1" workbookViewId="0">
      <selection activeCell="D16" sqref="D16"/>
    </sheetView>
  </sheetViews>
  <sheetFormatPr defaultRowHeight="14.4" x14ac:dyDescent="0.3"/>
  <cols>
    <col min="1" max="1" width="12" customWidth="1"/>
    <col min="2" max="2" width="18" customWidth="1"/>
    <col min="3" max="3" width="25" customWidth="1"/>
    <col min="4" max="4" width="10" customWidth="1"/>
    <col min="5" max="5" width="12" customWidth="1"/>
    <col min="6" max="6" width="15" customWidth="1"/>
    <col min="7" max="7" width="20" customWidth="1"/>
  </cols>
  <sheetData>
    <row r="1" spans="1:7" ht="19.95" customHeight="1" x14ac:dyDescent="0.3">
      <c r="A1" s="10" t="s">
        <v>37</v>
      </c>
      <c r="B1" s="10" t="s">
        <v>17</v>
      </c>
      <c r="C1" s="10" t="s">
        <v>38</v>
      </c>
      <c r="D1" s="10" t="s">
        <v>39</v>
      </c>
      <c r="E1" s="10" t="s">
        <v>40</v>
      </c>
      <c r="F1" s="10" t="s">
        <v>41</v>
      </c>
      <c r="G1" s="10" t="s">
        <v>42</v>
      </c>
    </row>
    <row r="2" spans="1:7" x14ac:dyDescent="0.3">
      <c r="A2" s="11" t="s">
        <v>43</v>
      </c>
      <c r="B2" s="12" t="s">
        <v>16</v>
      </c>
      <c r="C2" s="12" t="s">
        <v>44</v>
      </c>
      <c r="D2" s="13" t="s">
        <v>45</v>
      </c>
      <c r="E2" s="9">
        <v>22000</v>
      </c>
      <c r="F2" s="12" t="s">
        <v>46</v>
      </c>
      <c r="G2" s="12" t="s">
        <v>47</v>
      </c>
    </row>
    <row r="3" spans="1:7" x14ac:dyDescent="0.3">
      <c r="A3" s="11" t="s">
        <v>48</v>
      </c>
      <c r="B3" s="12" t="s">
        <v>20</v>
      </c>
      <c r="C3" s="12" t="s">
        <v>49</v>
      </c>
      <c r="D3" s="13" t="s">
        <v>50</v>
      </c>
      <c r="E3" s="9">
        <v>2000</v>
      </c>
      <c r="F3" s="12" t="s">
        <v>51</v>
      </c>
      <c r="G3" s="12" t="s">
        <v>52</v>
      </c>
    </row>
    <row r="4" spans="1:7" x14ac:dyDescent="0.3">
      <c r="A4" s="11" t="s">
        <v>48</v>
      </c>
      <c r="B4" s="12" t="s">
        <v>24</v>
      </c>
      <c r="C4" s="12" t="s">
        <v>53</v>
      </c>
      <c r="D4" s="13" t="s">
        <v>45</v>
      </c>
      <c r="E4" s="9">
        <v>1800</v>
      </c>
      <c r="F4" s="12" t="s">
        <v>46</v>
      </c>
      <c r="G4" s="12" t="s">
        <v>54</v>
      </c>
    </row>
    <row r="5" spans="1:7" x14ac:dyDescent="0.3">
      <c r="A5" s="11" t="s">
        <v>55</v>
      </c>
      <c r="B5" s="12" t="s">
        <v>17</v>
      </c>
      <c r="C5" s="12" t="s">
        <v>17</v>
      </c>
      <c r="D5" s="13" t="s">
        <v>45</v>
      </c>
      <c r="E5" s="9">
        <v>23000</v>
      </c>
      <c r="F5" s="12" t="s">
        <v>46</v>
      </c>
      <c r="G5" s="12" t="s">
        <v>56</v>
      </c>
    </row>
    <row r="6" spans="1:7" x14ac:dyDescent="0.3">
      <c r="A6" s="11" t="s">
        <v>61</v>
      </c>
      <c r="B6" s="12" t="s">
        <v>23</v>
      </c>
      <c r="C6" s="12" t="s">
        <v>62</v>
      </c>
      <c r="D6" s="13" t="s">
        <v>50</v>
      </c>
      <c r="E6" s="9">
        <v>600</v>
      </c>
      <c r="F6" s="12" t="s">
        <v>57</v>
      </c>
      <c r="G6" s="12" t="s">
        <v>63</v>
      </c>
    </row>
    <row r="7" spans="1:7" x14ac:dyDescent="0.3">
      <c r="A7" s="11" t="s">
        <v>64</v>
      </c>
      <c r="B7" s="12" t="s">
        <v>30</v>
      </c>
      <c r="C7" s="12" t="s">
        <v>59</v>
      </c>
      <c r="D7" s="13" t="s">
        <v>50</v>
      </c>
      <c r="E7" s="9">
        <v>200</v>
      </c>
      <c r="F7" s="12" t="s">
        <v>58</v>
      </c>
      <c r="G7" s="12" t="s">
        <v>65</v>
      </c>
    </row>
    <row r="8" spans="1:7" x14ac:dyDescent="0.3">
      <c r="A8" s="11" t="s">
        <v>66</v>
      </c>
      <c r="B8" s="12" t="s">
        <v>34</v>
      </c>
      <c r="C8" s="12" t="s">
        <v>60</v>
      </c>
      <c r="D8" s="13" t="s">
        <v>50</v>
      </c>
      <c r="E8" s="9">
        <v>400</v>
      </c>
      <c r="F8" s="12" t="s">
        <v>51</v>
      </c>
      <c r="G8" s="12" t="s">
        <v>67</v>
      </c>
    </row>
    <row r="9" spans="1:7" x14ac:dyDescent="0.3">
      <c r="A9" s="11"/>
      <c r="B9" s="12" t="s">
        <v>19</v>
      </c>
      <c r="C9" s="12"/>
      <c r="D9" s="13"/>
      <c r="E9" s="9">
        <v>15000</v>
      </c>
      <c r="F9" s="12"/>
      <c r="G9" s="12"/>
    </row>
    <row r="10" spans="1:7" x14ac:dyDescent="0.3">
      <c r="A10" s="11" t="s">
        <v>64</v>
      </c>
      <c r="B10" s="12" t="s">
        <v>119</v>
      </c>
      <c r="C10" s="12" t="s">
        <v>59</v>
      </c>
      <c r="D10" s="13" t="s">
        <v>50</v>
      </c>
      <c r="E10" s="9">
        <v>15000</v>
      </c>
      <c r="F10" s="12" t="s">
        <v>58</v>
      </c>
      <c r="G10" s="12" t="s">
        <v>65</v>
      </c>
    </row>
    <row r="11" spans="1:7" x14ac:dyDescent="0.3">
      <c r="A11" s="11" t="s">
        <v>66</v>
      </c>
      <c r="B11" s="12"/>
      <c r="C11" s="12" t="s">
        <v>60</v>
      </c>
      <c r="D11" s="13" t="s">
        <v>50</v>
      </c>
      <c r="E11" s="9"/>
      <c r="F11" s="12" t="s">
        <v>51</v>
      </c>
      <c r="G11" s="12" t="s">
        <v>67</v>
      </c>
    </row>
    <row r="12" spans="1:7" x14ac:dyDescent="0.3">
      <c r="A12" s="11"/>
      <c r="B12" s="12"/>
      <c r="C12" s="12"/>
      <c r="D12" s="13"/>
      <c r="E12" s="9"/>
      <c r="F12" s="12"/>
      <c r="G12" s="12"/>
    </row>
    <row r="13" spans="1:7" x14ac:dyDescent="0.3">
      <c r="A13" s="11"/>
      <c r="B13" s="12"/>
      <c r="C13" s="12"/>
      <c r="D13" s="13"/>
      <c r="E13" s="9"/>
      <c r="F13" s="12"/>
      <c r="G13" s="12"/>
    </row>
    <row r="14" spans="1:7" x14ac:dyDescent="0.3">
      <c r="A14" s="11"/>
      <c r="B14" s="12"/>
      <c r="C14" s="12"/>
      <c r="D14" s="13"/>
      <c r="E14" s="9"/>
      <c r="F14" s="12"/>
      <c r="G14" s="12"/>
    </row>
    <row r="15" spans="1:7" x14ac:dyDescent="0.3">
      <c r="A15" s="11"/>
      <c r="B15" s="12"/>
      <c r="C15" s="12"/>
      <c r="D15" s="13"/>
      <c r="E15" s="9"/>
      <c r="F15" s="12"/>
      <c r="G15" s="12"/>
    </row>
    <row r="16" spans="1:7" x14ac:dyDescent="0.3">
      <c r="A16" s="11"/>
      <c r="B16" s="12"/>
      <c r="C16" s="12"/>
      <c r="D16" s="13"/>
      <c r="E16" s="9"/>
      <c r="F16" s="12"/>
      <c r="G16" s="12"/>
    </row>
    <row r="17" spans="1:7" x14ac:dyDescent="0.3">
      <c r="A17" s="11"/>
      <c r="B17" s="12"/>
      <c r="C17" s="12"/>
      <c r="D17" s="13"/>
      <c r="E17" s="9"/>
      <c r="F17" s="12"/>
      <c r="G17" s="12"/>
    </row>
    <row r="18" spans="1:7" x14ac:dyDescent="0.3">
      <c r="A18" s="11"/>
      <c r="B18" s="12"/>
      <c r="C18" s="12"/>
      <c r="D18" s="13"/>
      <c r="E18" s="9"/>
      <c r="F18" s="12"/>
      <c r="G18" s="12"/>
    </row>
    <row r="19" spans="1:7" x14ac:dyDescent="0.3">
      <c r="A19" s="11"/>
      <c r="B19" s="12"/>
      <c r="C19" s="12"/>
      <c r="D19" s="13"/>
      <c r="E19" s="9"/>
      <c r="F19" s="12"/>
      <c r="G19" s="12"/>
    </row>
    <row r="20" spans="1:7" x14ac:dyDescent="0.3">
      <c r="A20" s="11"/>
      <c r="B20" s="12"/>
      <c r="C20" s="12"/>
      <c r="D20" s="13"/>
      <c r="E20" s="9"/>
      <c r="F20" s="12"/>
      <c r="G20" s="12"/>
    </row>
    <row r="21" spans="1:7" x14ac:dyDescent="0.3">
      <c r="A21" s="11"/>
      <c r="B21" s="12"/>
      <c r="C21" s="12"/>
      <c r="D21" s="13"/>
      <c r="E21" s="9"/>
      <c r="F21" s="12"/>
      <c r="G21" s="12"/>
    </row>
    <row r="22" spans="1:7" x14ac:dyDescent="0.3">
      <c r="A22" s="11"/>
      <c r="B22" s="12"/>
      <c r="C22" s="12"/>
      <c r="D22" s="13"/>
      <c r="E22" s="9"/>
      <c r="F22" s="12"/>
      <c r="G22" s="12"/>
    </row>
    <row r="23" spans="1:7" x14ac:dyDescent="0.3">
      <c r="A23" s="11"/>
      <c r="B23" s="12"/>
      <c r="C23" s="12"/>
      <c r="D23" s="13"/>
      <c r="E23" s="9"/>
      <c r="F23" s="12"/>
      <c r="G23" s="12"/>
    </row>
    <row r="24" spans="1:7" x14ac:dyDescent="0.3">
      <c r="A24" s="11"/>
      <c r="B24" s="12"/>
      <c r="C24" s="12"/>
      <c r="D24" s="13"/>
      <c r="E24" s="9"/>
      <c r="F24" s="12"/>
      <c r="G24" s="12"/>
    </row>
    <row r="25" spans="1:7" x14ac:dyDescent="0.3">
      <c r="A25" s="11"/>
      <c r="B25" s="12"/>
      <c r="C25" s="12"/>
      <c r="D25" s="13"/>
      <c r="E25" s="9"/>
      <c r="F25" s="12"/>
      <c r="G25" s="12"/>
    </row>
    <row r="26" spans="1:7" x14ac:dyDescent="0.3">
      <c r="A26" s="11"/>
      <c r="B26" s="12"/>
      <c r="C26" s="12"/>
      <c r="D26" s="13"/>
      <c r="E26" s="9"/>
      <c r="F26" s="12"/>
      <c r="G26" s="12"/>
    </row>
    <row r="27" spans="1:7" x14ac:dyDescent="0.3">
      <c r="A27" s="11"/>
      <c r="B27" s="12"/>
      <c r="C27" s="12"/>
      <c r="D27" s="13"/>
      <c r="E27" s="9"/>
      <c r="F27" s="12"/>
      <c r="G27" s="12"/>
    </row>
    <row r="28" spans="1:7" x14ac:dyDescent="0.3">
      <c r="A28" s="11"/>
      <c r="B28" s="12"/>
      <c r="C28" s="12"/>
      <c r="D28" s="13"/>
      <c r="E28" s="9"/>
      <c r="F28" s="12"/>
      <c r="G28" s="12"/>
    </row>
    <row r="29" spans="1:7" x14ac:dyDescent="0.3">
      <c r="A29" s="11"/>
      <c r="B29" s="12"/>
      <c r="C29" s="12"/>
      <c r="D29" s="13"/>
      <c r="E29" s="9"/>
      <c r="F29" s="12"/>
      <c r="G29" s="12"/>
    </row>
    <row r="30" spans="1:7" x14ac:dyDescent="0.3">
      <c r="A30" s="11"/>
      <c r="B30" s="12"/>
      <c r="C30" s="12"/>
      <c r="D30" s="13"/>
      <c r="E30" s="9"/>
      <c r="F30" s="12"/>
      <c r="G30" s="12"/>
    </row>
    <row r="31" spans="1:7" x14ac:dyDescent="0.3">
      <c r="A31" s="11"/>
      <c r="B31" s="12"/>
      <c r="C31" s="12"/>
      <c r="D31" s="13"/>
      <c r="E31" s="9"/>
      <c r="F31" s="12"/>
      <c r="G31" s="12"/>
    </row>
    <row r="32" spans="1:7" x14ac:dyDescent="0.3">
      <c r="A32" s="11"/>
      <c r="B32" s="12"/>
      <c r="C32" s="12"/>
      <c r="D32" s="13"/>
      <c r="E32" s="9"/>
      <c r="F32" s="12"/>
      <c r="G32" s="12"/>
    </row>
    <row r="33" spans="1:7" x14ac:dyDescent="0.3">
      <c r="A33" s="11"/>
      <c r="B33" s="12"/>
      <c r="C33" s="12"/>
      <c r="D33" s="13"/>
      <c r="E33" s="9"/>
      <c r="F33" s="12"/>
      <c r="G33" s="12"/>
    </row>
    <row r="34" spans="1:7" x14ac:dyDescent="0.3">
      <c r="A34" s="11"/>
      <c r="B34" s="12"/>
      <c r="C34" s="12"/>
      <c r="D34" s="13"/>
      <c r="E34" s="9"/>
      <c r="F34" s="12"/>
      <c r="G34" s="12"/>
    </row>
    <row r="35" spans="1:7" x14ac:dyDescent="0.3">
      <c r="A35" s="11"/>
      <c r="B35" s="12"/>
      <c r="C35" s="12"/>
      <c r="D35" s="13"/>
      <c r="E35" s="9"/>
      <c r="F35" s="12"/>
      <c r="G35" s="12"/>
    </row>
    <row r="36" spans="1:7" x14ac:dyDescent="0.3">
      <c r="A36" s="11"/>
      <c r="B36" s="12"/>
      <c r="C36" s="12"/>
      <c r="D36" s="13"/>
      <c r="E36" s="9"/>
      <c r="F36" s="12"/>
      <c r="G36" s="12"/>
    </row>
    <row r="37" spans="1:7" x14ac:dyDescent="0.3">
      <c r="A37" s="11"/>
      <c r="B37" s="12"/>
      <c r="C37" s="12"/>
      <c r="D37" s="13"/>
      <c r="E37" s="9"/>
      <c r="F37" s="12"/>
      <c r="G37" s="12"/>
    </row>
    <row r="38" spans="1:7" x14ac:dyDescent="0.3">
      <c r="A38" s="11"/>
      <c r="B38" s="12"/>
      <c r="C38" s="12"/>
      <c r="D38" s="13"/>
      <c r="E38" s="9"/>
      <c r="F38" s="12"/>
      <c r="G38" s="12"/>
    </row>
    <row r="39" spans="1:7" x14ac:dyDescent="0.3">
      <c r="A39" s="11"/>
      <c r="B39" s="12"/>
      <c r="C39" s="12"/>
      <c r="D39" s="13"/>
      <c r="E39" s="9"/>
      <c r="F39" s="12"/>
      <c r="G39" s="12"/>
    </row>
    <row r="40" spans="1:7" x14ac:dyDescent="0.3">
      <c r="A40" s="11"/>
      <c r="B40" s="12"/>
      <c r="C40" s="12"/>
      <c r="D40" s="13"/>
      <c r="E40" s="9"/>
      <c r="F40" s="12"/>
      <c r="G40" s="12"/>
    </row>
    <row r="41" spans="1:7" x14ac:dyDescent="0.3">
      <c r="A41" s="11"/>
      <c r="B41" s="12"/>
      <c r="C41" s="12"/>
      <c r="D41" s="13"/>
      <c r="E41" s="9"/>
      <c r="F41" s="12"/>
      <c r="G41" s="12"/>
    </row>
    <row r="42" spans="1:7" x14ac:dyDescent="0.3">
      <c r="A42" s="11"/>
      <c r="B42" s="12"/>
      <c r="C42" s="12"/>
      <c r="D42" s="13"/>
      <c r="E42" s="9"/>
      <c r="F42" s="12"/>
      <c r="G42" s="12"/>
    </row>
    <row r="43" spans="1:7" x14ac:dyDescent="0.3">
      <c r="A43" s="11"/>
      <c r="B43" s="12"/>
      <c r="C43" s="12"/>
      <c r="D43" s="13"/>
      <c r="E43" s="9"/>
      <c r="F43" s="12"/>
      <c r="G43" s="12"/>
    </row>
    <row r="44" spans="1:7" x14ac:dyDescent="0.3">
      <c r="A44" s="11"/>
      <c r="B44" s="12"/>
      <c r="C44" s="12"/>
      <c r="D44" s="13"/>
      <c r="E44" s="9"/>
      <c r="F44" s="12"/>
      <c r="G44" s="12"/>
    </row>
    <row r="45" spans="1:7" x14ac:dyDescent="0.3">
      <c r="A45" s="11"/>
      <c r="B45" s="12"/>
      <c r="C45" s="12"/>
      <c r="D45" s="13"/>
      <c r="E45" s="9"/>
      <c r="F45" s="12"/>
      <c r="G45" s="12"/>
    </row>
    <row r="46" spans="1:7" x14ac:dyDescent="0.3">
      <c r="A46" s="11"/>
      <c r="B46" s="12"/>
      <c r="C46" s="12"/>
      <c r="D46" s="13"/>
      <c r="E46" s="9"/>
      <c r="F46" s="12"/>
      <c r="G46" s="12"/>
    </row>
    <row r="47" spans="1:7" x14ac:dyDescent="0.3">
      <c r="A47" s="11"/>
      <c r="B47" s="12"/>
      <c r="C47" s="12"/>
      <c r="D47" s="13"/>
      <c r="E47" s="9"/>
      <c r="F47" s="12"/>
      <c r="G47" s="12"/>
    </row>
    <row r="48" spans="1:7" x14ac:dyDescent="0.3">
      <c r="A48" s="11"/>
      <c r="B48" s="12"/>
      <c r="C48" s="12"/>
      <c r="D48" s="13"/>
      <c r="E48" s="9"/>
      <c r="F48" s="12"/>
      <c r="G48" s="12"/>
    </row>
    <row r="49" spans="1:7" x14ac:dyDescent="0.3">
      <c r="A49" s="11"/>
      <c r="B49" s="12"/>
      <c r="C49" s="12"/>
      <c r="D49" s="13"/>
      <c r="E49" s="9"/>
      <c r="F49" s="12"/>
      <c r="G49" s="12"/>
    </row>
    <row r="50" spans="1:7" x14ac:dyDescent="0.3">
      <c r="A50" s="11"/>
      <c r="B50" s="12"/>
      <c r="C50" s="12"/>
      <c r="D50" s="13"/>
      <c r="E50" s="9"/>
      <c r="F50" s="12"/>
      <c r="G50" s="12"/>
    </row>
    <row r="51" spans="1:7" x14ac:dyDescent="0.3">
      <c r="A51" s="11"/>
      <c r="B51" s="12"/>
      <c r="C51" s="12"/>
      <c r="D51" s="13"/>
      <c r="E51" s="9"/>
      <c r="F51" s="12"/>
      <c r="G51" s="12"/>
    </row>
    <row r="52" spans="1:7" x14ac:dyDescent="0.3">
      <c r="A52" s="11"/>
      <c r="B52" s="12"/>
      <c r="C52" s="12"/>
      <c r="D52" s="13"/>
      <c r="E52" s="9"/>
      <c r="F52" s="12"/>
      <c r="G52" s="12"/>
    </row>
    <row r="53" spans="1:7" x14ac:dyDescent="0.3">
      <c r="A53" s="11"/>
      <c r="B53" s="12"/>
      <c r="C53" s="12"/>
      <c r="D53" s="13"/>
      <c r="E53" s="9"/>
      <c r="F53" s="12"/>
      <c r="G53" s="12"/>
    </row>
    <row r="54" spans="1:7" x14ac:dyDescent="0.3">
      <c r="A54" s="11"/>
      <c r="B54" s="12"/>
      <c r="C54" s="12"/>
      <c r="D54" s="13"/>
      <c r="E54" s="9"/>
      <c r="F54" s="12"/>
      <c r="G54" s="12"/>
    </row>
    <row r="55" spans="1:7" x14ac:dyDescent="0.3">
      <c r="A55" s="11"/>
      <c r="B55" s="12"/>
      <c r="C55" s="12"/>
      <c r="D55" s="13"/>
      <c r="E55" s="9"/>
      <c r="F55" s="12"/>
      <c r="G55" s="12"/>
    </row>
    <row r="56" spans="1:7" x14ac:dyDescent="0.3">
      <c r="A56" s="11"/>
      <c r="B56" s="12"/>
      <c r="C56" s="12"/>
      <c r="D56" s="13"/>
      <c r="E56" s="9"/>
      <c r="F56" s="12"/>
      <c r="G56" s="12"/>
    </row>
    <row r="57" spans="1:7" x14ac:dyDescent="0.3">
      <c r="A57" s="11"/>
      <c r="B57" s="12"/>
      <c r="C57" s="12"/>
      <c r="D57" s="13"/>
      <c r="E57" s="9"/>
      <c r="F57" s="12"/>
      <c r="G57" s="12"/>
    </row>
    <row r="58" spans="1:7" x14ac:dyDescent="0.3">
      <c r="A58" s="11"/>
      <c r="B58" s="12"/>
      <c r="C58" s="12"/>
      <c r="D58" s="13"/>
      <c r="E58" s="9"/>
      <c r="F58" s="12"/>
      <c r="G58" s="12"/>
    </row>
    <row r="59" spans="1:7" x14ac:dyDescent="0.3">
      <c r="A59" s="11"/>
      <c r="B59" s="12"/>
      <c r="C59" s="12"/>
      <c r="D59" s="13"/>
      <c r="E59" s="9"/>
      <c r="F59" s="12"/>
      <c r="G59" s="12"/>
    </row>
    <row r="60" spans="1:7" x14ac:dyDescent="0.3">
      <c r="A60" s="11"/>
      <c r="B60" s="12"/>
      <c r="C60" s="12"/>
      <c r="D60" s="13"/>
      <c r="E60" s="9"/>
      <c r="F60" s="12"/>
      <c r="G60" s="12"/>
    </row>
    <row r="61" spans="1:7" x14ac:dyDescent="0.3">
      <c r="A61" s="11"/>
      <c r="B61" s="12"/>
      <c r="C61" s="12"/>
      <c r="D61" s="13"/>
      <c r="E61" s="9"/>
      <c r="F61" s="12"/>
      <c r="G61" s="12"/>
    </row>
    <row r="62" spans="1:7" x14ac:dyDescent="0.3">
      <c r="A62" s="11"/>
      <c r="B62" s="12"/>
      <c r="C62" s="12"/>
      <c r="D62" s="13"/>
      <c r="E62" s="9"/>
      <c r="F62" s="12"/>
      <c r="G62" s="12"/>
    </row>
    <row r="63" spans="1:7" x14ac:dyDescent="0.3">
      <c r="A63" s="11"/>
      <c r="B63" s="12"/>
      <c r="C63" s="12"/>
      <c r="D63" s="13"/>
      <c r="E63" s="9"/>
      <c r="F63" s="12"/>
      <c r="G63" s="12"/>
    </row>
    <row r="64" spans="1:7" x14ac:dyDescent="0.3">
      <c r="A64" s="11"/>
      <c r="B64" s="12"/>
      <c r="C64" s="12"/>
      <c r="D64" s="13"/>
      <c r="E64" s="9"/>
      <c r="F64" s="12"/>
      <c r="G64" s="12"/>
    </row>
    <row r="65" spans="1:7" x14ac:dyDescent="0.3">
      <c r="A65" s="11"/>
      <c r="B65" s="12"/>
      <c r="C65" s="12"/>
      <c r="D65" s="13"/>
      <c r="E65" s="9"/>
      <c r="F65" s="12"/>
      <c r="G65" s="12"/>
    </row>
    <row r="66" spans="1:7" x14ac:dyDescent="0.3">
      <c r="A66" s="11"/>
      <c r="B66" s="12"/>
      <c r="C66" s="12"/>
      <c r="D66" s="13"/>
      <c r="E66" s="9"/>
      <c r="F66" s="12"/>
      <c r="G66" s="12"/>
    </row>
    <row r="67" spans="1:7" x14ac:dyDescent="0.3">
      <c r="A67" s="11"/>
      <c r="B67" s="12"/>
      <c r="C67" s="12"/>
      <c r="D67" s="13"/>
      <c r="E67" s="9"/>
      <c r="F67" s="12"/>
      <c r="G67" s="12"/>
    </row>
  </sheetData>
  <dataValidations count="3">
    <dataValidation type="list" allowBlank="1" sqref="D2:D67" xr:uid="{00000000-0002-0000-0100-000000000000}">
      <formula1>"Fixed,Variable"</formula1>
    </dataValidation>
    <dataValidation type="list" allowBlank="1" sqref="F2:F67" xr:uid="{00000000-0002-0000-0100-000001000000}">
      <formula1>"Cash,UPI,Credit Card,Bank Account"</formula1>
    </dataValidation>
    <dataValidation type="list" allowBlank="1" showInputMessage="1" showErrorMessage="1" sqref="B1:B1048576" xr:uid="{181225D6-0BD4-4884-B5C2-424AC780FB3F}">
      <formula1>"Home Loan EMI,Personal Loan EMI,Personal Loan EMI2,Car Loan EMI,Parking Charges,Groceries,Gym Membership,Home Needs,Personal Expenses,Electricity Bill,Gas Bill,Medical Expenses,Insurance Premiums,Baby Expenses,Dining Out,Online Shopping,Miscellaneous+$A$1"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3"/>
  <sheetViews>
    <sheetView workbookViewId="0">
      <selection activeCell="B7" sqref="B7"/>
    </sheetView>
  </sheetViews>
  <sheetFormatPr defaultRowHeight="14.4" x14ac:dyDescent="0.3"/>
  <cols>
    <col min="1" max="1" width="25" customWidth="1"/>
    <col min="2" max="2" width="15" customWidth="1"/>
    <col min="3" max="3" width="12" customWidth="1"/>
  </cols>
  <sheetData>
    <row r="1" spans="1:3" ht="19.95" customHeight="1" x14ac:dyDescent="0.3">
      <c r="A1" s="23" t="s">
        <v>68</v>
      </c>
      <c r="B1" s="21"/>
      <c r="C1" s="21"/>
    </row>
    <row r="3" spans="1:3" x14ac:dyDescent="0.3">
      <c r="A3" s="20" t="s">
        <v>69</v>
      </c>
      <c r="B3" s="21"/>
      <c r="C3" s="21"/>
    </row>
    <row r="4" spans="1:3" x14ac:dyDescent="0.3">
      <c r="A4" s="14" t="s">
        <v>70</v>
      </c>
      <c r="B4" s="14" t="s">
        <v>40</v>
      </c>
      <c r="C4" s="14" t="s">
        <v>71</v>
      </c>
    </row>
    <row r="5" spans="1:3" x14ac:dyDescent="0.3">
      <c r="A5" t="s">
        <v>72</v>
      </c>
      <c r="B5" s="9">
        <f>SUMIF(Expenses!$D:$D,"Fixed",Expenses!$E:$E)</f>
        <v>46800</v>
      </c>
      <c r="C5" s="15">
        <f>IF(SUM(B5:B6)=0,0,B5/SUM(B5:B6))</f>
        <v>0.72</v>
      </c>
    </row>
    <row r="6" spans="1:3" x14ac:dyDescent="0.3">
      <c r="A6" t="s">
        <v>73</v>
      </c>
      <c r="B6" s="9">
        <f>SUMIF(Expenses!$D:$D,"Variable",Expenses!$E:$E)</f>
        <v>18200</v>
      </c>
      <c r="C6" s="15">
        <f>IF(SUM(B5:B6)=0,0,B6/SUM(B5:B6))</f>
        <v>0.28000000000000003</v>
      </c>
    </row>
    <row r="7" spans="1:3" x14ac:dyDescent="0.3">
      <c r="A7" s="16" t="s">
        <v>74</v>
      </c>
      <c r="B7" s="4">
        <f>SUM(B5:B6)</f>
        <v>65000</v>
      </c>
    </row>
    <row r="9" spans="1:3" x14ac:dyDescent="0.3">
      <c r="A9" s="20" t="s">
        <v>75</v>
      </c>
      <c r="B9" s="21"/>
      <c r="C9" s="21"/>
    </row>
    <row r="10" spans="1:3" x14ac:dyDescent="0.3">
      <c r="A10" s="14" t="s">
        <v>76</v>
      </c>
      <c r="B10" s="14" t="s">
        <v>40</v>
      </c>
    </row>
    <row r="11" spans="1:3" x14ac:dyDescent="0.3">
      <c r="A11" s="12" t="s">
        <v>16</v>
      </c>
      <c r="B11" s="9">
        <f>SUMIF(Expenses!$B:$B,A11,Expenses!$E:$E)</f>
        <v>22000</v>
      </c>
    </row>
    <row r="12" spans="1:3" x14ac:dyDescent="0.3">
      <c r="A12" s="12" t="s">
        <v>17</v>
      </c>
      <c r="B12" s="9">
        <f>SUMIF(Expenses!$B:$B,A12,Expenses!$E:$E)</f>
        <v>23000</v>
      </c>
    </row>
    <row r="13" spans="1:3" x14ac:dyDescent="0.3">
      <c r="A13" s="12" t="s">
        <v>18</v>
      </c>
      <c r="B13" s="9">
        <f>SUMIF(Expenses!$B:$B,A13,Expenses!$E:$E)</f>
        <v>0</v>
      </c>
    </row>
    <row r="14" spans="1:3" x14ac:dyDescent="0.3">
      <c r="A14" s="16" t="s">
        <v>77</v>
      </c>
      <c r="B14" s="4">
        <f>SUM(B11:B13)</f>
        <v>45000</v>
      </c>
    </row>
    <row r="16" spans="1:3" x14ac:dyDescent="0.3">
      <c r="A16" s="20" t="s">
        <v>78</v>
      </c>
      <c r="B16" s="21"/>
      <c r="C16" s="21"/>
    </row>
    <row r="17" spans="1:2" x14ac:dyDescent="0.3">
      <c r="A17" s="14" t="s">
        <v>79</v>
      </c>
      <c r="B17" s="14" t="s">
        <v>40</v>
      </c>
    </row>
    <row r="18" spans="1:2" x14ac:dyDescent="0.3">
      <c r="A18" s="12" t="s">
        <v>24</v>
      </c>
      <c r="B18" s="9">
        <f>SUMIF(Expenses!$B:$B,A18,Expenses!$E:$E)</f>
        <v>1800</v>
      </c>
    </row>
    <row r="19" spans="1:2" x14ac:dyDescent="0.3">
      <c r="A19" s="12" t="s">
        <v>25</v>
      </c>
      <c r="B19" s="9">
        <f>SUMIF(Expenses!$B:$B,A19,Expenses!$E:$E)</f>
        <v>0</v>
      </c>
    </row>
    <row r="20" spans="1:2" x14ac:dyDescent="0.3">
      <c r="A20" s="12" t="s">
        <v>26</v>
      </c>
      <c r="B20" s="9">
        <f>SUMIF(Expenses!$B:$B,A20,Expenses!$E:$E)</f>
        <v>0</v>
      </c>
    </row>
    <row r="21" spans="1:2" x14ac:dyDescent="0.3">
      <c r="A21" s="12" t="s">
        <v>27</v>
      </c>
      <c r="B21" s="9">
        <f>SUMIF(Expenses!$B:$B,A21,Expenses!$E:$E)</f>
        <v>0</v>
      </c>
    </row>
    <row r="22" spans="1:2" x14ac:dyDescent="0.3">
      <c r="A22" s="12" t="s">
        <v>28</v>
      </c>
      <c r="B22" s="9">
        <f>SUMIF(Expenses!$B:$B,A22,Expenses!$E:$E)</f>
        <v>0</v>
      </c>
    </row>
    <row r="23" spans="1:2" x14ac:dyDescent="0.3">
      <c r="A23" s="16" t="s">
        <v>80</v>
      </c>
      <c r="B23" s="4">
        <f>SUM(B18:B22)</f>
        <v>1800</v>
      </c>
    </row>
  </sheetData>
  <mergeCells count="4">
    <mergeCell ref="A1:C1"/>
    <mergeCell ref="A9:C9"/>
    <mergeCell ref="A3:C3"/>
    <mergeCell ref="A16:C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3"/>
  <sheetViews>
    <sheetView workbookViewId="0"/>
  </sheetViews>
  <sheetFormatPr defaultRowHeight="14.4" x14ac:dyDescent="0.3"/>
  <cols>
    <col min="1" max="1" width="50" customWidth="1"/>
  </cols>
  <sheetData>
    <row r="1" spans="1:2" ht="15.6" x14ac:dyDescent="0.3">
      <c r="A1" s="23"/>
      <c r="B1" s="21"/>
    </row>
    <row r="2" spans="1:2" x14ac:dyDescent="0.3">
      <c r="A2" s="17" t="s">
        <v>81</v>
      </c>
    </row>
    <row r="3" spans="1:2" x14ac:dyDescent="0.3">
      <c r="A3" s="18" t="s">
        <v>82</v>
      </c>
    </row>
    <row r="4" spans="1:2" x14ac:dyDescent="0.3">
      <c r="A4" s="18" t="s">
        <v>83</v>
      </c>
    </row>
    <row r="5" spans="1:2" x14ac:dyDescent="0.3">
      <c r="A5" s="18" t="s">
        <v>84</v>
      </c>
    </row>
    <row r="6" spans="1:2" x14ac:dyDescent="0.3">
      <c r="A6" s="18" t="s">
        <v>85</v>
      </c>
    </row>
    <row r="8" spans="1:2" x14ac:dyDescent="0.3">
      <c r="A8" s="17" t="s">
        <v>86</v>
      </c>
    </row>
    <row r="9" spans="1:2" x14ac:dyDescent="0.3">
      <c r="A9" s="18" t="s">
        <v>87</v>
      </c>
    </row>
    <row r="10" spans="1:2" x14ac:dyDescent="0.3">
      <c r="A10" s="18" t="s">
        <v>88</v>
      </c>
    </row>
    <row r="11" spans="1:2" x14ac:dyDescent="0.3">
      <c r="A11" s="19" t="s">
        <v>89</v>
      </c>
    </row>
    <row r="12" spans="1:2" x14ac:dyDescent="0.3">
      <c r="A12" s="19" t="s">
        <v>90</v>
      </c>
    </row>
    <row r="13" spans="1:2" x14ac:dyDescent="0.3">
      <c r="A13" s="19" t="s">
        <v>91</v>
      </c>
    </row>
    <row r="14" spans="1:2" x14ac:dyDescent="0.3">
      <c r="A14" s="19" t="s">
        <v>92</v>
      </c>
    </row>
    <row r="15" spans="1:2" x14ac:dyDescent="0.3">
      <c r="A15" s="19" t="s">
        <v>93</v>
      </c>
    </row>
    <row r="16" spans="1:2" x14ac:dyDescent="0.3">
      <c r="A16" s="19" t="s">
        <v>94</v>
      </c>
    </row>
    <row r="17" spans="1:1" x14ac:dyDescent="0.3">
      <c r="A17" s="19" t="s">
        <v>95</v>
      </c>
    </row>
    <row r="19" spans="1:1" x14ac:dyDescent="0.3">
      <c r="A19" s="17" t="s">
        <v>96</v>
      </c>
    </row>
    <row r="20" spans="1:1" x14ac:dyDescent="0.3">
      <c r="A20" t="s">
        <v>97</v>
      </c>
    </row>
    <row r="21" spans="1:1" x14ac:dyDescent="0.3">
      <c r="A21" t="s">
        <v>98</v>
      </c>
    </row>
    <row r="22" spans="1:1" x14ac:dyDescent="0.3">
      <c r="A22" t="s">
        <v>99</v>
      </c>
    </row>
    <row r="23" spans="1:1" x14ac:dyDescent="0.3">
      <c r="A23" t="s">
        <v>100</v>
      </c>
    </row>
    <row r="24" spans="1:1" x14ac:dyDescent="0.3">
      <c r="A24" t="s">
        <v>101</v>
      </c>
    </row>
    <row r="26" spans="1:1" x14ac:dyDescent="0.3">
      <c r="A26" s="17" t="s">
        <v>102</v>
      </c>
    </row>
    <row r="27" spans="1:1" x14ac:dyDescent="0.3">
      <c r="A27" s="18" t="s">
        <v>103</v>
      </c>
    </row>
    <row r="28" spans="1:1" x14ac:dyDescent="0.3">
      <c r="A28" s="18" t="s">
        <v>104</v>
      </c>
    </row>
    <row r="30" spans="1:1" x14ac:dyDescent="0.3">
      <c r="A30" s="17" t="s">
        <v>105</v>
      </c>
    </row>
    <row r="31" spans="1:1" x14ac:dyDescent="0.3">
      <c r="A31" s="19" t="s">
        <v>106</v>
      </c>
    </row>
    <row r="32" spans="1:1" x14ac:dyDescent="0.3">
      <c r="A32" s="19" t="s">
        <v>107</v>
      </c>
    </row>
    <row r="33" spans="1:1" x14ac:dyDescent="0.3">
      <c r="A33" s="19" t="s">
        <v>108</v>
      </c>
    </row>
    <row r="34" spans="1:1" x14ac:dyDescent="0.3">
      <c r="A34" s="19" t="s">
        <v>109</v>
      </c>
    </row>
    <row r="35" spans="1:1" x14ac:dyDescent="0.3">
      <c r="A35" s="19" t="s">
        <v>110</v>
      </c>
    </row>
    <row r="36" spans="1:1" x14ac:dyDescent="0.3">
      <c r="A36" s="19" t="s">
        <v>111</v>
      </c>
    </row>
    <row r="37" spans="1:1" x14ac:dyDescent="0.3">
      <c r="A37" s="19" t="s">
        <v>112</v>
      </c>
    </row>
    <row r="39" spans="1:1" x14ac:dyDescent="0.3">
      <c r="A39" s="17" t="s">
        <v>113</v>
      </c>
    </row>
    <row r="40" spans="1:1" x14ac:dyDescent="0.3">
      <c r="A40" t="s">
        <v>114</v>
      </c>
    </row>
    <row r="41" spans="1:1" x14ac:dyDescent="0.3">
      <c r="A41" t="s">
        <v>115</v>
      </c>
    </row>
    <row r="42" spans="1:1" x14ac:dyDescent="0.3">
      <c r="A42" t="s">
        <v>116</v>
      </c>
    </row>
    <row r="43" spans="1:1" x14ac:dyDescent="0.3">
      <c r="A43" t="s">
        <v>117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Expenses</vt:lpstr>
      <vt:lpstr>Monthly Summary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Kumar, Dheeraj</cp:lastModifiedBy>
  <dcterms:created xsi:type="dcterms:W3CDTF">2026-06-29T10:54:16Z</dcterms:created>
  <dcterms:modified xsi:type="dcterms:W3CDTF">2026-06-30T08:15:06Z</dcterms:modified>
</cp:coreProperties>
</file>